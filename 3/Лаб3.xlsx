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лабы\Бурмакова\Математическое программирование\MP-4sem\3\"/>
    </mc:Choice>
  </mc:AlternateContent>
  <xr:revisionPtr revIDLastSave="0" documentId="13_ncr:1_{A6CE5FDC-DC3B-431F-A834-9C0070628278}" xr6:coauthVersionLast="47" xr6:coauthVersionMax="47" xr10:uidLastSave="{00000000-0000-0000-0000-000000000000}"/>
  <bookViews>
    <workbookView xWindow="-108" yWindow="-108" windowWidth="23256" windowHeight="12456" xr2:uid="{5ABA47DA-C3E3-43BE-AF76-BB5F20A24F9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3" i="1" l="1"/>
  <c r="J50" i="1"/>
</calcChain>
</file>

<file path=xl/sharedStrings.xml><?xml version="1.0" encoding="utf-8"?>
<sst xmlns="http://schemas.openxmlformats.org/spreadsheetml/2006/main" count="163" uniqueCount="66">
  <si>
    <t>Город</t>
  </si>
  <si>
    <t>INF</t>
  </si>
  <si>
    <t>Исходная матрица</t>
  </si>
  <si>
    <t>dj</t>
  </si>
  <si>
    <t>Находим минимумы по строкам</t>
  </si>
  <si>
    <t>Производим редукцию строк: из каждого элемента</t>
  </si>
  <si>
    <t xml:space="preserve">в каждой строке вычитаем соответствующее </t>
  </si>
  <si>
    <t xml:space="preserve">ей значение минимума </t>
  </si>
  <si>
    <t>Находим минимумы по столбцам</t>
  </si>
  <si>
    <t>Производим редукцию столбцов</t>
  </si>
  <si>
    <t>Посчитаем локальную нижнюю границу</t>
  </si>
  <si>
    <t>Hk= Hk-1 + ∑di + ∑dj</t>
  </si>
  <si>
    <t xml:space="preserve"> = </t>
  </si>
  <si>
    <t xml:space="preserve">Для каждой нулевой клетки преобразованной матрицы </t>
  </si>
  <si>
    <t>находим «оценку» (pij). Ею будет сумма минимума по строке</t>
  </si>
  <si>
    <t xml:space="preserve">и минимума по столбцу, на пересечении которых находится данная клетка с нулем. </t>
  </si>
  <si>
    <t>0(8)</t>
  </si>
  <si>
    <t>0(2)</t>
  </si>
  <si>
    <t>0(3)</t>
  </si>
  <si>
    <t>Здесь начинается ветвление нашего дерева</t>
  </si>
  <si>
    <t>Здесь мы либо включаем в маршрут отрезок 5-4 либо не включаем</t>
  </si>
  <si>
    <t>Максимальная оценка имеет клетку 5-4</t>
  </si>
  <si>
    <t>Удаляем строку 5 и стобец 4, а в ячейку 4-5 ставим INF</t>
  </si>
  <si>
    <t>Проводим редукцию</t>
  </si>
  <si>
    <t>Hk=</t>
  </si>
  <si>
    <t>2. Не включаем путь 5-4</t>
  </si>
  <si>
    <t>1. Включаем путь 5-4</t>
  </si>
  <si>
    <t xml:space="preserve">Hk= </t>
  </si>
  <si>
    <t>Hk-1 + pij</t>
  </si>
  <si>
    <t>=</t>
  </si>
  <si>
    <t>По аналогии продолжим решение</t>
  </si>
  <si>
    <t>0(47)</t>
  </si>
  <si>
    <t>0(0)</t>
  </si>
  <si>
    <t>1.</t>
  </si>
  <si>
    <t>Включаем путь 1-5</t>
  </si>
  <si>
    <t>Hk =</t>
  </si>
  <si>
    <t>8+105=</t>
  </si>
  <si>
    <t xml:space="preserve">2.  </t>
  </si>
  <si>
    <t>Не включаем путь 1-5</t>
  </si>
  <si>
    <t>Hk= 105+47= 152</t>
  </si>
  <si>
    <t xml:space="preserve">1. </t>
  </si>
  <si>
    <t>Включаем путь 3-2</t>
  </si>
  <si>
    <t>т.к 113 &lt; 152 выбираем путь с включением 1-5</t>
  </si>
  <si>
    <t xml:space="preserve">2. </t>
  </si>
  <si>
    <t>Hk = 113+3 = 116</t>
  </si>
  <si>
    <t>т.к 113 &lt; 116, включаем путь 3-2</t>
  </si>
  <si>
    <t>0(INF)</t>
  </si>
  <si>
    <t>т.к.  У нас две ячейки с одинаковым штрафом,</t>
  </si>
  <si>
    <t>можно выбрать любую, например 2-1</t>
  </si>
  <si>
    <t>1. Включаем путь 2-1</t>
  </si>
  <si>
    <t>Не включаем путь 3-2</t>
  </si>
  <si>
    <t>Hk= 113</t>
  </si>
  <si>
    <t>2. Не включаем путь 2-1</t>
  </si>
  <si>
    <t>Hk = INF</t>
  </si>
  <si>
    <t>т.к  113 &lt; INF, мы включаем путь 2-1</t>
  </si>
  <si>
    <t>Остался единственный путь 4-3, который мы включаем в маршрут</t>
  </si>
  <si>
    <t>В итоге получаем маршрут</t>
  </si>
  <si>
    <t>1) 5-4</t>
  </si>
  <si>
    <t>2) 1-5</t>
  </si>
  <si>
    <t>3) 3-2</t>
  </si>
  <si>
    <t>4) 2-1</t>
  </si>
  <si>
    <t>5) 4-3</t>
  </si>
  <si>
    <t>0(84)</t>
  </si>
  <si>
    <t>105+84=189</t>
  </si>
  <si>
    <t>т.к.  105 &lt; 189, мы выбираем ветвь где включаем путь 5-4</t>
  </si>
  <si>
    <t>1-5-4-3-2-1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</si>
</sst>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3" borderId="1" xfId="0" applyFill="1" applyBorder="1"/>
    <xf numFmtId="0" fontId="0" fillId="3" borderId="9" xfId="0" applyFill="1" applyBorder="1"/>
    <xf numFmtId="0" fontId="0" fillId="2" borderId="10" xfId="0" applyFill="1" applyBorder="1"/>
    <xf numFmtId="0" fontId="0" fillId="0" borderId="11" xfId="0" applyBorder="1"/>
    <xf numFmtId="0" fontId="0" fillId="3" borderId="12" xfId="0" applyFill="1" applyBorder="1"/>
    <xf numFmtId="0" fontId="0" fillId="4" borderId="1" xfId="0" applyFill="1" applyBorder="1"/>
    <xf numFmtId="0" fontId="0" fillId="2" borderId="13" xfId="0" applyFill="1" applyBorder="1"/>
    <xf numFmtId="0" fontId="0" fillId="0" borderId="14" xfId="0" applyBorder="1"/>
    <xf numFmtId="0" fontId="0" fillId="3" borderId="15" xfId="0" applyFill="1" applyBorder="1"/>
    <xf numFmtId="0" fontId="0" fillId="5" borderId="1" xfId="0" applyFill="1" applyBorder="1"/>
    <xf numFmtId="0" fontId="0" fillId="5" borderId="8" xfId="0" applyFill="1" applyBorder="1"/>
    <xf numFmtId="0" fontId="0" fillId="5" borderId="11" xfId="0" applyFill="1" applyBorder="1"/>
    <xf numFmtId="0" fontId="0" fillId="5" borderId="14" xfId="0" applyFill="1" applyBorder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1" xfId="0" applyFill="1" applyBorder="1"/>
    <xf numFmtId="0" fontId="0" fillId="6" borderId="1" xfId="0" applyFill="1" applyBorder="1"/>
    <xf numFmtId="16" fontId="0" fillId="8" borderId="1" xfId="0" applyNumberFormat="1" applyFill="1" applyBorder="1"/>
    <xf numFmtId="0" fontId="0" fillId="8" borderId="1" xfId="0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434051</xdr:colOff>
      <xdr:row>197</xdr:row>
      <xdr:rowOff>154328</xdr:rowOff>
    </xdr:from>
    <xdr:to>
      <xdr:col>17</xdr:col>
      <xdr:colOff>355446</xdr:colOff>
      <xdr:row>226</xdr:row>
      <xdr:rowOff>21943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FEEE328-2BD2-772A-8885-BF947DDCF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6507" y="36469898"/>
          <a:ext cx="7821116" cy="5182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DD57-26A6-4BD0-9721-726ACD54B325}">
  <dimension ref="B1:J208"/>
  <sheetViews>
    <sheetView tabSelected="1" topLeftCell="A211" zoomScale="79" zoomScaleNormal="72" workbookViewId="0">
      <selection activeCell="D170" sqref="D170"/>
    </sheetView>
  </sheetViews>
  <sheetFormatPr defaultRowHeight="14.4" x14ac:dyDescent="0.3"/>
  <cols>
    <col min="1" max="1" width="8.21875" customWidth="1"/>
  </cols>
  <sheetData>
    <row r="1" spans="2:10" ht="15" thickBot="1" x14ac:dyDescent="0.35"/>
    <row r="2" spans="2:10" x14ac:dyDescent="0.3">
      <c r="B2" s="2" t="s">
        <v>0</v>
      </c>
      <c r="C2" s="3">
        <v>1</v>
      </c>
      <c r="D2" s="3">
        <v>2</v>
      </c>
      <c r="E2" s="3">
        <v>3</v>
      </c>
      <c r="F2" s="3">
        <v>4</v>
      </c>
      <c r="G2" s="4">
        <v>5</v>
      </c>
    </row>
    <row r="3" spans="2:10" x14ac:dyDescent="0.3">
      <c r="B3" s="5">
        <v>1</v>
      </c>
      <c r="C3" s="9" t="s">
        <v>1</v>
      </c>
      <c r="D3" s="1">
        <v>20</v>
      </c>
      <c r="E3" s="1">
        <v>32</v>
      </c>
      <c r="F3" s="9" t="s">
        <v>1</v>
      </c>
      <c r="G3" s="6">
        <v>10</v>
      </c>
      <c r="J3" t="s">
        <v>2</v>
      </c>
    </row>
    <row r="4" spans="2:10" x14ac:dyDescent="0.3">
      <c r="B4" s="5">
        <v>2</v>
      </c>
      <c r="C4" s="1">
        <v>10</v>
      </c>
      <c r="D4" s="9" t="s">
        <v>1</v>
      </c>
      <c r="E4" s="1">
        <v>25</v>
      </c>
      <c r="F4" s="1">
        <v>58</v>
      </c>
      <c r="G4" s="6">
        <v>74</v>
      </c>
    </row>
    <row r="5" spans="2:10" x14ac:dyDescent="0.3">
      <c r="B5" s="5">
        <v>3</v>
      </c>
      <c r="C5" s="1">
        <v>12</v>
      </c>
      <c r="D5" s="1">
        <v>30</v>
      </c>
      <c r="E5" s="9" t="s">
        <v>1</v>
      </c>
      <c r="F5" s="1">
        <v>86</v>
      </c>
      <c r="G5" s="6">
        <v>59</v>
      </c>
    </row>
    <row r="6" spans="2:10" x14ac:dyDescent="0.3">
      <c r="B6" s="5">
        <v>4</v>
      </c>
      <c r="C6" s="1">
        <v>27</v>
      </c>
      <c r="D6" s="1">
        <v>48</v>
      </c>
      <c r="E6" s="1">
        <v>40</v>
      </c>
      <c r="F6" s="9" t="s">
        <v>1</v>
      </c>
      <c r="G6" s="6">
        <v>30</v>
      </c>
    </row>
    <row r="7" spans="2:10" ht="15" thickBot="1" x14ac:dyDescent="0.35">
      <c r="B7" s="7">
        <v>5</v>
      </c>
      <c r="C7" s="8">
        <v>83</v>
      </c>
      <c r="D7" s="8">
        <v>76</v>
      </c>
      <c r="E7" s="8">
        <v>52</v>
      </c>
      <c r="F7" s="8">
        <v>23</v>
      </c>
      <c r="G7" s="10" t="s">
        <v>1</v>
      </c>
    </row>
    <row r="10" spans="2:10" ht="15" thickBot="1" x14ac:dyDescent="0.35"/>
    <row r="11" spans="2:10" x14ac:dyDescent="0.3">
      <c r="B11" s="2" t="s">
        <v>0</v>
      </c>
      <c r="C11" s="3">
        <v>1</v>
      </c>
      <c r="D11" s="3">
        <v>2</v>
      </c>
      <c r="E11" s="3">
        <v>3</v>
      </c>
      <c r="F11" s="3">
        <v>4</v>
      </c>
      <c r="G11" s="11">
        <v>5</v>
      </c>
      <c r="H11" s="14" t="s">
        <v>3</v>
      </c>
    </row>
    <row r="12" spans="2:10" x14ac:dyDescent="0.3">
      <c r="B12" s="5">
        <v>1</v>
      </c>
      <c r="C12" s="9" t="s">
        <v>1</v>
      </c>
      <c r="D12" s="1">
        <v>20</v>
      </c>
      <c r="E12" s="1">
        <v>32</v>
      </c>
      <c r="F12" s="9" t="s">
        <v>1</v>
      </c>
      <c r="G12" s="12">
        <v>10</v>
      </c>
      <c r="H12" s="14">
        <v>10</v>
      </c>
      <c r="J12" t="s">
        <v>4</v>
      </c>
    </row>
    <row r="13" spans="2:10" x14ac:dyDescent="0.3">
      <c r="B13" s="5">
        <v>2</v>
      </c>
      <c r="C13" s="1">
        <v>10</v>
      </c>
      <c r="D13" s="9" t="s">
        <v>1</v>
      </c>
      <c r="E13" s="1">
        <v>25</v>
      </c>
      <c r="F13" s="1">
        <v>58</v>
      </c>
      <c r="G13" s="12">
        <v>74</v>
      </c>
      <c r="H13" s="14">
        <v>10</v>
      </c>
    </row>
    <row r="14" spans="2:10" x14ac:dyDescent="0.3">
      <c r="B14" s="5">
        <v>3</v>
      </c>
      <c r="C14" s="1">
        <v>12</v>
      </c>
      <c r="D14" s="1">
        <v>30</v>
      </c>
      <c r="E14" s="9" t="s">
        <v>1</v>
      </c>
      <c r="F14" s="1">
        <v>86</v>
      </c>
      <c r="G14" s="12">
        <v>59</v>
      </c>
      <c r="H14" s="14">
        <v>12</v>
      </c>
    </row>
    <row r="15" spans="2:10" x14ac:dyDescent="0.3">
      <c r="B15" s="5">
        <v>4</v>
      </c>
      <c r="C15" s="1">
        <v>27</v>
      </c>
      <c r="D15" s="1">
        <v>48</v>
      </c>
      <c r="E15" s="1">
        <v>40</v>
      </c>
      <c r="F15" s="9" t="s">
        <v>1</v>
      </c>
      <c r="G15" s="12">
        <v>30</v>
      </c>
      <c r="H15" s="14">
        <v>30</v>
      </c>
    </row>
    <row r="16" spans="2:10" ht="15" thickBot="1" x14ac:dyDescent="0.35">
      <c r="B16" s="7">
        <v>5</v>
      </c>
      <c r="C16" s="8">
        <v>83</v>
      </c>
      <c r="D16" s="8">
        <v>76</v>
      </c>
      <c r="E16" s="8">
        <v>52</v>
      </c>
      <c r="F16" s="8">
        <v>23</v>
      </c>
      <c r="G16" s="13" t="s">
        <v>1</v>
      </c>
      <c r="H16" s="14">
        <v>23</v>
      </c>
    </row>
    <row r="19" spans="2:10" ht="15" thickBot="1" x14ac:dyDescent="0.35"/>
    <row r="20" spans="2:10" x14ac:dyDescent="0.3">
      <c r="B20" s="2" t="s">
        <v>0</v>
      </c>
      <c r="C20" s="3">
        <v>1</v>
      </c>
      <c r="D20" s="3">
        <v>2</v>
      </c>
      <c r="E20" s="3">
        <v>3</v>
      </c>
      <c r="F20" s="3">
        <v>4</v>
      </c>
      <c r="G20" s="11">
        <v>5</v>
      </c>
      <c r="H20" s="14" t="s">
        <v>3</v>
      </c>
    </row>
    <row r="21" spans="2:10" x14ac:dyDescent="0.3">
      <c r="B21" s="5">
        <v>1</v>
      </c>
      <c r="C21" s="9" t="s">
        <v>1</v>
      </c>
      <c r="D21" s="1">
        <v>10</v>
      </c>
      <c r="E21" s="1">
        <v>22</v>
      </c>
      <c r="F21" s="9" t="s">
        <v>1</v>
      </c>
      <c r="G21" s="20">
        <v>0</v>
      </c>
      <c r="H21" s="14">
        <v>10</v>
      </c>
    </row>
    <row r="22" spans="2:10" x14ac:dyDescent="0.3">
      <c r="B22" s="5">
        <v>2</v>
      </c>
      <c r="C22" s="18">
        <v>0</v>
      </c>
      <c r="D22" s="9" t="s">
        <v>1</v>
      </c>
      <c r="E22" s="1">
        <v>15</v>
      </c>
      <c r="F22" s="1">
        <v>68</v>
      </c>
      <c r="G22" s="12">
        <v>64</v>
      </c>
      <c r="H22" s="14">
        <v>10</v>
      </c>
      <c r="J22" t="s">
        <v>5</v>
      </c>
    </row>
    <row r="23" spans="2:10" x14ac:dyDescent="0.3">
      <c r="B23" s="5">
        <v>3</v>
      </c>
      <c r="C23" s="18">
        <v>0</v>
      </c>
      <c r="D23" s="1">
        <v>18</v>
      </c>
      <c r="E23" s="9" t="s">
        <v>1</v>
      </c>
      <c r="F23" s="1">
        <v>74</v>
      </c>
      <c r="G23" s="12">
        <v>47</v>
      </c>
      <c r="H23" s="14">
        <v>12</v>
      </c>
      <c r="J23" t="s">
        <v>6</v>
      </c>
    </row>
    <row r="24" spans="2:10" x14ac:dyDescent="0.3">
      <c r="B24" s="5">
        <v>4</v>
      </c>
      <c r="C24" s="18">
        <v>0</v>
      </c>
      <c r="D24" s="1">
        <v>21</v>
      </c>
      <c r="E24" s="1">
        <v>13</v>
      </c>
      <c r="F24" s="9" t="s">
        <v>1</v>
      </c>
      <c r="G24" s="12">
        <v>3</v>
      </c>
      <c r="H24" s="14">
        <v>27</v>
      </c>
      <c r="J24" t="s">
        <v>7</v>
      </c>
    </row>
    <row r="25" spans="2:10" ht="15" thickBot="1" x14ac:dyDescent="0.35">
      <c r="B25" s="7">
        <v>5</v>
      </c>
      <c r="C25" s="8">
        <v>60</v>
      </c>
      <c r="D25" s="8">
        <v>53</v>
      </c>
      <c r="E25" s="8">
        <v>29</v>
      </c>
      <c r="F25" s="19">
        <v>0</v>
      </c>
      <c r="G25" s="13" t="s">
        <v>1</v>
      </c>
      <c r="H25" s="14">
        <v>23</v>
      </c>
    </row>
    <row r="29" spans="2:10" ht="15" thickBot="1" x14ac:dyDescent="0.35"/>
    <row r="30" spans="2:10" x14ac:dyDescent="0.3">
      <c r="B30" s="2" t="s">
        <v>0</v>
      </c>
      <c r="C30" s="3">
        <v>1</v>
      </c>
      <c r="D30" s="3">
        <v>2</v>
      </c>
      <c r="E30" s="3">
        <v>3</v>
      </c>
      <c r="F30" s="3">
        <v>4</v>
      </c>
      <c r="G30" s="4">
        <v>5</v>
      </c>
    </row>
    <row r="31" spans="2:10" x14ac:dyDescent="0.3">
      <c r="B31" s="5">
        <v>1</v>
      </c>
      <c r="C31" s="9" t="s">
        <v>1</v>
      </c>
      <c r="D31" s="1">
        <v>10</v>
      </c>
      <c r="E31" s="1">
        <v>22</v>
      </c>
      <c r="F31" s="9" t="s">
        <v>1</v>
      </c>
      <c r="G31" s="6">
        <v>0</v>
      </c>
      <c r="J31" t="s">
        <v>8</v>
      </c>
    </row>
    <row r="32" spans="2:10" x14ac:dyDescent="0.3">
      <c r="B32" s="5">
        <v>2</v>
      </c>
      <c r="C32" s="1">
        <v>0</v>
      </c>
      <c r="D32" s="9" t="s">
        <v>1</v>
      </c>
      <c r="E32" s="1">
        <v>15</v>
      </c>
      <c r="F32" s="1">
        <v>68</v>
      </c>
      <c r="G32" s="6">
        <v>64</v>
      </c>
    </row>
    <row r="33" spans="2:10" x14ac:dyDescent="0.3">
      <c r="B33" s="5">
        <v>3</v>
      </c>
      <c r="C33" s="1">
        <v>0</v>
      </c>
      <c r="D33" s="1">
        <v>18</v>
      </c>
      <c r="E33" s="9" t="s">
        <v>1</v>
      </c>
      <c r="F33" s="1">
        <v>74</v>
      </c>
      <c r="G33" s="6">
        <v>47</v>
      </c>
    </row>
    <row r="34" spans="2:10" x14ac:dyDescent="0.3">
      <c r="B34" s="5">
        <v>4</v>
      </c>
      <c r="C34" s="1">
        <v>0</v>
      </c>
      <c r="D34" s="1">
        <v>21</v>
      </c>
      <c r="E34" s="1">
        <v>13</v>
      </c>
      <c r="F34" s="9" t="s">
        <v>1</v>
      </c>
      <c r="G34" s="6">
        <v>3</v>
      </c>
    </row>
    <row r="35" spans="2:10" x14ac:dyDescent="0.3">
      <c r="B35" s="15">
        <v>5</v>
      </c>
      <c r="C35" s="16">
        <v>60</v>
      </c>
      <c r="D35" s="16">
        <v>53</v>
      </c>
      <c r="E35" s="16">
        <v>29</v>
      </c>
      <c r="F35" s="16">
        <v>0</v>
      </c>
      <c r="G35" s="17" t="s">
        <v>1</v>
      </c>
    </row>
    <row r="36" spans="2:10" x14ac:dyDescent="0.3">
      <c r="B36" s="14" t="s">
        <v>3</v>
      </c>
      <c r="C36" s="14">
        <v>0</v>
      </c>
      <c r="D36" s="14">
        <v>10</v>
      </c>
      <c r="E36" s="14">
        <v>13</v>
      </c>
      <c r="F36" s="14">
        <v>0</v>
      </c>
      <c r="G36" s="14">
        <v>0</v>
      </c>
    </row>
    <row r="39" spans="2:10" ht="15" thickBot="1" x14ac:dyDescent="0.35"/>
    <row r="40" spans="2:10" x14ac:dyDescent="0.3">
      <c r="B40" s="2" t="s">
        <v>0</v>
      </c>
      <c r="C40" s="3">
        <v>1</v>
      </c>
      <c r="D40" s="3">
        <v>2</v>
      </c>
      <c r="E40" s="3">
        <v>3</v>
      </c>
      <c r="F40" s="3">
        <v>4</v>
      </c>
      <c r="G40" s="4">
        <v>5</v>
      </c>
    </row>
    <row r="41" spans="2:10" x14ac:dyDescent="0.3">
      <c r="B41" s="5">
        <v>1</v>
      </c>
      <c r="C41" s="9" t="s">
        <v>1</v>
      </c>
      <c r="D41" s="18">
        <v>0</v>
      </c>
      <c r="E41" s="1">
        <v>9</v>
      </c>
      <c r="F41" s="9" t="s">
        <v>1</v>
      </c>
      <c r="G41" s="22">
        <v>0</v>
      </c>
      <c r="J41" t="s">
        <v>9</v>
      </c>
    </row>
    <row r="42" spans="2:10" x14ac:dyDescent="0.3">
      <c r="B42" s="5">
        <v>2</v>
      </c>
      <c r="C42" s="18">
        <v>0</v>
      </c>
      <c r="D42" s="9" t="s">
        <v>1</v>
      </c>
      <c r="E42" s="1">
        <v>2</v>
      </c>
      <c r="F42" s="1">
        <v>68</v>
      </c>
      <c r="G42" s="6">
        <v>64</v>
      </c>
    </row>
    <row r="43" spans="2:10" x14ac:dyDescent="0.3">
      <c r="B43" s="5">
        <v>3</v>
      </c>
      <c r="C43" s="18">
        <v>0</v>
      </c>
      <c r="D43" s="1">
        <v>8</v>
      </c>
      <c r="E43" s="9" t="s">
        <v>1</v>
      </c>
      <c r="F43" s="1">
        <v>74</v>
      </c>
      <c r="G43" s="6">
        <v>47</v>
      </c>
    </row>
    <row r="44" spans="2:10" x14ac:dyDescent="0.3">
      <c r="B44" s="5">
        <v>4</v>
      </c>
      <c r="C44" s="18">
        <v>0</v>
      </c>
      <c r="D44" s="1">
        <v>11</v>
      </c>
      <c r="E44" s="18">
        <v>0</v>
      </c>
      <c r="F44" s="9" t="s">
        <v>1</v>
      </c>
      <c r="G44" s="6">
        <v>3</v>
      </c>
    </row>
    <row r="45" spans="2:10" x14ac:dyDescent="0.3">
      <c r="B45" s="15">
        <v>5</v>
      </c>
      <c r="C45" s="16">
        <v>60</v>
      </c>
      <c r="D45" s="16">
        <v>43</v>
      </c>
      <c r="E45" s="16">
        <v>16</v>
      </c>
      <c r="F45" s="21">
        <v>0</v>
      </c>
      <c r="G45" s="17" t="s">
        <v>1</v>
      </c>
    </row>
    <row r="46" spans="2:10" x14ac:dyDescent="0.3">
      <c r="B46" s="14" t="s">
        <v>3</v>
      </c>
      <c r="C46" s="14">
        <v>0</v>
      </c>
      <c r="D46" s="14">
        <v>10</v>
      </c>
      <c r="E46" s="14">
        <v>13</v>
      </c>
      <c r="F46" s="14">
        <v>0</v>
      </c>
      <c r="G46" s="14">
        <v>0</v>
      </c>
    </row>
    <row r="50" spans="2:10" x14ac:dyDescent="0.3">
      <c r="B50" t="s">
        <v>10</v>
      </c>
      <c r="G50" t="s">
        <v>11</v>
      </c>
      <c r="I50" t="s">
        <v>12</v>
      </c>
      <c r="J50">
        <f>SUM(H21:H25)+SUM(C46:G46)</f>
        <v>105</v>
      </c>
    </row>
    <row r="54" spans="2:10" ht="15" thickBot="1" x14ac:dyDescent="0.35">
      <c r="J54" t="s">
        <v>13</v>
      </c>
    </row>
    <row r="55" spans="2:10" ht="15" customHeight="1" x14ac:dyDescent="0.3">
      <c r="B55" s="2" t="s">
        <v>0</v>
      </c>
      <c r="C55" s="3">
        <v>1</v>
      </c>
      <c r="D55" s="3">
        <v>2</v>
      </c>
      <c r="E55" s="3">
        <v>3</v>
      </c>
      <c r="F55" s="3">
        <v>4</v>
      </c>
      <c r="G55" s="4">
        <v>5</v>
      </c>
      <c r="J55" t="s">
        <v>14</v>
      </c>
    </row>
    <row r="56" spans="2:10" ht="16.2" customHeight="1" x14ac:dyDescent="0.3">
      <c r="B56" s="5">
        <v>1</v>
      </c>
      <c r="C56" s="9" t="s">
        <v>1</v>
      </c>
      <c r="D56" s="18" t="s">
        <v>16</v>
      </c>
      <c r="E56" s="1">
        <v>9</v>
      </c>
      <c r="F56" s="9" t="s">
        <v>1</v>
      </c>
      <c r="G56" s="22" t="s">
        <v>18</v>
      </c>
      <c r="J56" t="s">
        <v>15</v>
      </c>
    </row>
    <row r="57" spans="2:10" x14ac:dyDescent="0.3">
      <c r="B57" s="5">
        <v>2</v>
      </c>
      <c r="C57" s="18" t="s">
        <v>17</v>
      </c>
      <c r="D57" s="9" t="s">
        <v>1</v>
      </c>
      <c r="E57" s="1">
        <v>2</v>
      </c>
      <c r="F57" s="1">
        <v>68</v>
      </c>
      <c r="G57" s="6">
        <v>64</v>
      </c>
    </row>
    <row r="58" spans="2:10" x14ac:dyDescent="0.3">
      <c r="B58" s="5">
        <v>3</v>
      </c>
      <c r="C58" s="18" t="s">
        <v>16</v>
      </c>
      <c r="D58" s="1">
        <v>8</v>
      </c>
      <c r="E58" s="9" t="s">
        <v>1</v>
      </c>
      <c r="F58" s="1">
        <v>74</v>
      </c>
      <c r="G58" s="6">
        <v>47</v>
      </c>
      <c r="J58" t="s">
        <v>21</v>
      </c>
    </row>
    <row r="59" spans="2:10" x14ac:dyDescent="0.3">
      <c r="B59" s="5">
        <v>4</v>
      </c>
      <c r="C59" s="18" t="s">
        <v>18</v>
      </c>
      <c r="D59" s="1">
        <v>11</v>
      </c>
      <c r="E59" s="18" t="s">
        <v>17</v>
      </c>
      <c r="F59" s="9" t="s">
        <v>1</v>
      </c>
      <c r="G59" s="6">
        <v>3</v>
      </c>
    </row>
    <row r="60" spans="2:10" ht="15" thickBot="1" x14ac:dyDescent="0.35">
      <c r="B60" s="7">
        <v>5</v>
      </c>
      <c r="C60" s="8">
        <v>60</v>
      </c>
      <c r="D60" s="8">
        <v>43</v>
      </c>
      <c r="E60" s="8">
        <v>16</v>
      </c>
      <c r="F60" s="25" t="s">
        <v>62</v>
      </c>
      <c r="G60" s="10" t="s">
        <v>1</v>
      </c>
      <c r="J60" t="s">
        <v>19</v>
      </c>
    </row>
    <row r="61" spans="2:10" x14ac:dyDescent="0.3">
      <c r="J61" t="s">
        <v>20</v>
      </c>
    </row>
    <row r="65" spans="2:9" x14ac:dyDescent="0.3">
      <c r="B65" t="s">
        <v>26</v>
      </c>
    </row>
    <row r="66" spans="2:9" ht="15" thickBot="1" x14ac:dyDescent="0.35">
      <c r="I66" t="s">
        <v>23</v>
      </c>
    </row>
    <row r="67" spans="2:9" x14ac:dyDescent="0.3">
      <c r="B67" s="2" t="s">
        <v>0</v>
      </c>
      <c r="C67" s="3">
        <v>1</v>
      </c>
      <c r="D67" s="3">
        <v>2</v>
      </c>
      <c r="E67" s="3">
        <v>3</v>
      </c>
      <c r="F67" s="4">
        <v>5</v>
      </c>
      <c r="I67" t="s">
        <v>22</v>
      </c>
    </row>
    <row r="68" spans="2:9" x14ac:dyDescent="0.3">
      <c r="B68" s="5">
        <v>1</v>
      </c>
      <c r="C68" s="9" t="s">
        <v>1</v>
      </c>
      <c r="D68" s="1">
        <v>0</v>
      </c>
      <c r="E68" s="1">
        <v>9</v>
      </c>
      <c r="F68" s="6">
        <v>0</v>
      </c>
    </row>
    <row r="69" spans="2:9" x14ac:dyDescent="0.3">
      <c r="B69" s="5">
        <v>2</v>
      </c>
      <c r="C69" s="1">
        <v>0</v>
      </c>
      <c r="D69" s="9" t="s">
        <v>1</v>
      </c>
      <c r="E69" s="1">
        <v>2</v>
      </c>
      <c r="F69" s="6">
        <v>64</v>
      </c>
    </row>
    <row r="70" spans="2:9" x14ac:dyDescent="0.3">
      <c r="B70" s="5">
        <v>3</v>
      </c>
      <c r="C70" s="1">
        <v>0</v>
      </c>
      <c r="D70" s="1">
        <v>8</v>
      </c>
      <c r="E70" s="9" t="s">
        <v>1</v>
      </c>
      <c r="F70" s="6">
        <v>47</v>
      </c>
    </row>
    <row r="71" spans="2:9" x14ac:dyDescent="0.3">
      <c r="B71" s="5">
        <v>4</v>
      </c>
      <c r="C71" s="1">
        <v>0</v>
      </c>
      <c r="D71" s="1">
        <v>11</v>
      </c>
      <c r="E71" s="1">
        <v>0</v>
      </c>
      <c r="F71" s="23" t="s">
        <v>1</v>
      </c>
    </row>
    <row r="74" spans="2:9" ht="15" thickBot="1" x14ac:dyDescent="0.35"/>
    <row r="75" spans="2:9" x14ac:dyDescent="0.3">
      <c r="B75" s="2" t="s">
        <v>0</v>
      </c>
      <c r="C75" s="3">
        <v>1</v>
      </c>
      <c r="D75" s="3">
        <v>2</v>
      </c>
      <c r="E75" s="3">
        <v>3</v>
      </c>
      <c r="F75" s="4">
        <v>5</v>
      </c>
      <c r="G75" s="14" t="s">
        <v>3</v>
      </c>
    </row>
    <row r="76" spans="2:9" x14ac:dyDescent="0.3">
      <c r="B76" s="5">
        <v>1</v>
      </c>
      <c r="C76" s="9" t="s">
        <v>1</v>
      </c>
      <c r="D76" s="1">
        <v>0</v>
      </c>
      <c r="E76" s="1">
        <v>9</v>
      </c>
      <c r="F76" s="6">
        <v>0</v>
      </c>
      <c r="G76" s="14">
        <v>0</v>
      </c>
    </row>
    <row r="77" spans="2:9" x14ac:dyDescent="0.3">
      <c r="B77" s="5">
        <v>2</v>
      </c>
      <c r="C77" s="1">
        <v>0</v>
      </c>
      <c r="D77" s="9" t="s">
        <v>1</v>
      </c>
      <c r="E77" s="1">
        <v>2</v>
      </c>
      <c r="F77" s="6">
        <v>64</v>
      </c>
      <c r="G77" s="14">
        <v>0</v>
      </c>
    </row>
    <row r="78" spans="2:9" x14ac:dyDescent="0.3">
      <c r="B78" s="5">
        <v>3</v>
      </c>
      <c r="C78" s="1">
        <v>0</v>
      </c>
      <c r="D78" s="1">
        <v>8</v>
      </c>
      <c r="E78" s="9" t="s">
        <v>1</v>
      </c>
      <c r="F78" s="6">
        <v>47</v>
      </c>
      <c r="G78" s="14">
        <v>0</v>
      </c>
    </row>
    <row r="79" spans="2:9" x14ac:dyDescent="0.3">
      <c r="B79" s="5">
        <v>4</v>
      </c>
      <c r="C79" s="1">
        <v>0</v>
      </c>
      <c r="D79" s="1">
        <v>11</v>
      </c>
      <c r="E79" s="1">
        <v>0</v>
      </c>
      <c r="F79" s="23" t="s">
        <v>1</v>
      </c>
      <c r="G79" s="14">
        <v>0</v>
      </c>
    </row>
    <row r="80" spans="2:9" x14ac:dyDescent="0.3">
      <c r="B80" s="14" t="s">
        <v>3</v>
      </c>
      <c r="C80" s="14">
        <v>0</v>
      </c>
      <c r="D80" s="14">
        <v>0</v>
      </c>
      <c r="E80" s="14">
        <v>0</v>
      </c>
      <c r="F80" s="14">
        <v>0</v>
      </c>
    </row>
    <row r="83" spans="2:5" x14ac:dyDescent="0.3">
      <c r="B83" t="s">
        <v>24</v>
      </c>
      <c r="C83">
        <v>105</v>
      </c>
    </row>
    <row r="87" spans="2:5" x14ac:dyDescent="0.3">
      <c r="B87" t="s">
        <v>25</v>
      </c>
    </row>
    <row r="90" spans="2:5" x14ac:dyDescent="0.3">
      <c r="B90" t="s">
        <v>27</v>
      </c>
      <c r="C90" t="s">
        <v>28</v>
      </c>
      <c r="D90" t="s">
        <v>29</v>
      </c>
      <c r="E90" t="s">
        <v>63</v>
      </c>
    </row>
    <row r="93" spans="2:5" x14ac:dyDescent="0.3">
      <c r="B93" t="s">
        <v>64</v>
      </c>
    </row>
    <row r="94" spans="2:5" x14ac:dyDescent="0.3">
      <c r="B94" t="s">
        <v>30</v>
      </c>
    </row>
    <row r="97" spans="2:6" ht="15" thickBot="1" x14ac:dyDescent="0.35"/>
    <row r="98" spans="2:6" x14ac:dyDescent="0.3">
      <c r="B98" s="2" t="s">
        <v>0</v>
      </c>
      <c r="C98" s="3">
        <v>1</v>
      </c>
      <c r="D98" s="3">
        <v>2</v>
      </c>
      <c r="E98" s="3">
        <v>3</v>
      </c>
      <c r="F98" s="4">
        <v>5</v>
      </c>
    </row>
    <row r="99" spans="2:6" x14ac:dyDescent="0.3">
      <c r="B99" s="5">
        <v>1</v>
      </c>
      <c r="C99" s="9" t="s">
        <v>1</v>
      </c>
      <c r="D99" s="1" t="s">
        <v>16</v>
      </c>
      <c r="E99" s="1">
        <v>9</v>
      </c>
      <c r="F99" s="24" t="s">
        <v>31</v>
      </c>
    </row>
    <row r="100" spans="2:6" x14ac:dyDescent="0.3">
      <c r="B100" s="5">
        <v>2</v>
      </c>
      <c r="C100" s="1" t="s">
        <v>17</v>
      </c>
      <c r="D100" s="9" t="s">
        <v>1</v>
      </c>
      <c r="E100" s="1">
        <v>2</v>
      </c>
      <c r="F100" s="6">
        <v>64</v>
      </c>
    </row>
    <row r="101" spans="2:6" x14ac:dyDescent="0.3">
      <c r="B101" s="5">
        <v>3</v>
      </c>
      <c r="C101" s="1" t="s">
        <v>16</v>
      </c>
      <c r="D101" s="1">
        <v>8</v>
      </c>
      <c r="E101" s="9" t="s">
        <v>1</v>
      </c>
      <c r="F101" s="6">
        <v>47</v>
      </c>
    </row>
    <row r="102" spans="2:6" x14ac:dyDescent="0.3">
      <c r="B102" s="5">
        <v>4</v>
      </c>
      <c r="C102" s="1" t="s">
        <v>32</v>
      </c>
      <c r="D102" s="1">
        <v>11</v>
      </c>
      <c r="E102" s="1" t="s">
        <v>17</v>
      </c>
      <c r="F102" s="23" t="s">
        <v>1</v>
      </c>
    </row>
    <row r="106" spans="2:6" x14ac:dyDescent="0.3">
      <c r="B106" t="s">
        <v>33</v>
      </c>
      <c r="C106" t="s">
        <v>34</v>
      </c>
    </row>
    <row r="108" spans="2:6" ht="15" thickBot="1" x14ac:dyDescent="0.35"/>
    <row r="109" spans="2:6" x14ac:dyDescent="0.3">
      <c r="B109" s="2" t="s">
        <v>0</v>
      </c>
      <c r="C109" s="3">
        <v>1</v>
      </c>
      <c r="D109" s="3">
        <v>2</v>
      </c>
      <c r="E109" s="3">
        <v>3</v>
      </c>
      <c r="F109" s="14" t="s">
        <v>3</v>
      </c>
    </row>
    <row r="110" spans="2:6" x14ac:dyDescent="0.3">
      <c r="B110" s="5">
        <v>2</v>
      </c>
      <c r="C110" s="1">
        <v>0</v>
      </c>
      <c r="D110" s="9" t="s">
        <v>1</v>
      </c>
      <c r="E110" s="1">
        <v>2</v>
      </c>
      <c r="F110" s="14">
        <v>0</v>
      </c>
    </row>
    <row r="111" spans="2:6" x14ac:dyDescent="0.3">
      <c r="B111" s="5">
        <v>3</v>
      </c>
      <c r="C111" s="1">
        <v>0</v>
      </c>
      <c r="D111" s="1">
        <v>8</v>
      </c>
      <c r="E111" s="9" t="s">
        <v>1</v>
      </c>
      <c r="F111" s="14">
        <v>0</v>
      </c>
    </row>
    <row r="112" spans="2:6" x14ac:dyDescent="0.3">
      <c r="B112" s="5">
        <v>4</v>
      </c>
      <c r="C112" s="1">
        <v>0</v>
      </c>
      <c r="D112" s="1">
        <v>11</v>
      </c>
      <c r="E112" s="1">
        <v>0</v>
      </c>
      <c r="F112" s="14">
        <v>0</v>
      </c>
    </row>
    <row r="113" spans="2:5" x14ac:dyDescent="0.3">
      <c r="B113" s="14" t="s">
        <v>3</v>
      </c>
      <c r="C113" s="14">
        <v>0</v>
      </c>
      <c r="D113" s="14">
        <v>8</v>
      </c>
      <c r="E113" s="14">
        <v>0</v>
      </c>
    </row>
    <row r="116" spans="2:5" ht="15" thickBot="1" x14ac:dyDescent="0.35"/>
    <row r="117" spans="2:5" x14ac:dyDescent="0.3">
      <c r="B117" s="2" t="s">
        <v>0</v>
      </c>
      <c r="C117" s="3">
        <v>1</v>
      </c>
      <c r="D117" s="3">
        <v>2</v>
      </c>
      <c r="E117" s="3">
        <v>3</v>
      </c>
    </row>
    <row r="118" spans="2:5" x14ac:dyDescent="0.3">
      <c r="B118" s="5">
        <v>2</v>
      </c>
      <c r="C118" s="1">
        <v>0</v>
      </c>
      <c r="D118" s="9" t="s">
        <v>1</v>
      </c>
      <c r="E118" s="1">
        <v>2</v>
      </c>
    </row>
    <row r="119" spans="2:5" x14ac:dyDescent="0.3">
      <c r="B119" s="5">
        <v>3</v>
      </c>
      <c r="C119" s="1">
        <v>0</v>
      </c>
      <c r="D119" s="1">
        <v>0</v>
      </c>
      <c r="E119" s="9" t="s">
        <v>1</v>
      </c>
    </row>
    <row r="120" spans="2:5" x14ac:dyDescent="0.3">
      <c r="B120" s="5">
        <v>4</v>
      </c>
      <c r="C120" s="1">
        <v>0</v>
      </c>
      <c r="D120" s="1">
        <v>3</v>
      </c>
      <c r="E120" s="1">
        <v>0</v>
      </c>
    </row>
    <row r="123" spans="2:5" x14ac:dyDescent="0.3">
      <c r="B123" t="s">
        <v>35</v>
      </c>
      <c r="C123" t="s">
        <v>36</v>
      </c>
      <c r="D123">
        <f>113</f>
        <v>113</v>
      </c>
    </row>
    <row r="127" spans="2:5" x14ac:dyDescent="0.3">
      <c r="B127" t="s">
        <v>37</v>
      </c>
      <c r="C127" t="s">
        <v>38</v>
      </c>
    </row>
    <row r="130" spans="2:5" x14ac:dyDescent="0.3">
      <c r="B130" t="s">
        <v>39</v>
      </c>
    </row>
    <row r="133" spans="2:5" x14ac:dyDescent="0.3">
      <c r="B133" t="s">
        <v>42</v>
      </c>
    </row>
    <row r="136" spans="2:5" ht="15" thickBot="1" x14ac:dyDescent="0.35"/>
    <row r="137" spans="2:5" x14ac:dyDescent="0.3">
      <c r="B137" s="2" t="s">
        <v>0</v>
      </c>
      <c r="C137" s="3">
        <v>1</v>
      </c>
      <c r="D137" s="3">
        <v>2</v>
      </c>
      <c r="E137" s="3">
        <v>3</v>
      </c>
    </row>
    <row r="138" spans="2:5" x14ac:dyDescent="0.3">
      <c r="B138" s="5">
        <v>2</v>
      </c>
      <c r="C138" s="1" t="s">
        <v>17</v>
      </c>
      <c r="D138" s="9" t="s">
        <v>1</v>
      </c>
      <c r="E138" s="1">
        <v>2</v>
      </c>
    </row>
    <row r="139" spans="2:5" x14ac:dyDescent="0.3">
      <c r="B139" s="5">
        <v>3</v>
      </c>
      <c r="C139" s="1" t="s">
        <v>32</v>
      </c>
      <c r="D139" s="26" t="s">
        <v>18</v>
      </c>
      <c r="E139" s="9" t="s">
        <v>1</v>
      </c>
    </row>
    <row r="140" spans="2:5" x14ac:dyDescent="0.3">
      <c r="B140" s="5">
        <v>4</v>
      </c>
      <c r="C140" s="1" t="s">
        <v>32</v>
      </c>
      <c r="D140" s="1">
        <v>3</v>
      </c>
      <c r="E140" s="1" t="s">
        <v>17</v>
      </c>
    </row>
    <row r="145" spans="2:5" x14ac:dyDescent="0.3">
      <c r="B145" t="s">
        <v>40</v>
      </c>
      <c r="C145" t="s">
        <v>41</v>
      </c>
    </row>
    <row r="147" spans="2:5" ht="15" thickBot="1" x14ac:dyDescent="0.35"/>
    <row r="148" spans="2:5" x14ac:dyDescent="0.3">
      <c r="B148" s="2" t="s">
        <v>0</v>
      </c>
      <c r="C148" s="3">
        <v>1</v>
      </c>
      <c r="D148" s="3">
        <v>3</v>
      </c>
      <c r="E148" s="14" t="s">
        <v>3</v>
      </c>
    </row>
    <row r="149" spans="2:5" x14ac:dyDescent="0.3">
      <c r="B149" s="5">
        <v>2</v>
      </c>
      <c r="C149" s="1">
        <v>0</v>
      </c>
      <c r="D149" s="27" t="s">
        <v>1</v>
      </c>
      <c r="E149" s="14">
        <v>0</v>
      </c>
    </row>
    <row r="150" spans="2:5" x14ac:dyDescent="0.3">
      <c r="B150" s="5">
        <v>4</v>
      </c>
      <c r="C150" s="1">
        <v>0</v>
      </c>
      <c r="D150" s="1">
        <v>0</v>
      </c>
      <c r="E150" s="14">
        <v>0</v>
      </c>
    </row>
    <row r="151" spans="2:5" x14ac:dyDescent="0.3">
      <c r="B151" s="14" t="s">
        <v>3</v>
      </c>
      <c r="C151" s="14">
        <v>0</v>
      </c>
      <c r="D151" s="14">
        <v>0</v>
      </c>
    </row>
    <row r="154" spans="2:5" x14ac:dyDescent="0.3">
      <c r="B154" t="s">
        <v>24</v>
      </c>
      <c r="C154">
        <v>113</v>
      </c>
    </row>
    <row r="159" spans="2:5" x14ac:dyDescent="0.3">
      <c r="B159" t="s">
        <v>43</v>
      </c>
      <c r="C159" t="s">
        <v>50</v>
      </c>
    </row>
    <row r="162" spans="2:6" x14ac:dyDescent="0.3">
      <c r="B162" t="s">
        <v>44</v>
      </c>
    </row>
    <row r="165" spans="2:6" x14ac:dyDescent="0.3">
      <c r="B165" t="s">
        <v>45</v>
      </c>
    </row>
    <row r="168" spans="2:6" ht="15" thickBot="1" x14ac:dyDescent="0.35"/>
    <row r="169" spans="2:6" x14ac:dyDescent="0.3">
      <c r="B169" s="2" t="s">
        <v>0</v>
      </c>
      <c r="C169" s="3">
        <v>1</v>
      </c>
      <c r="D169" s="3">
        <v>3</v>
      </c>
      <c r="F169" t="s">
        <v>47</v>
      </c>
    </row>
    <row r="170" spans="2:6" x14ac:dyDescent="0.3">
      <c r="B170" s="5">
        <v>2</v>
      </c>
      <c r="C170" s="26" t="s">
        <v>46</v>
      </c>
      <c r="D170" s="27" t="s">
        <v>1</v>
      </c>
      <c r="F170" t="s">
        <v>48</v>
      </c>
    </row>
    <row r="171" spans="2:6" x14ac:dyDescent="0.3">
      <c r="B171" s="5">
        <v>4</v>
      </c>
      <c r="C171" s="1" t="s">
        <v>32</v>
      </c>
      <c r="D171" s="1" t="s">
        <v>46</v>
      </c>
    </row>
    <row r="175" spans="2:6" x14ac:dyDescent="0.3">
      <c r="B175" t="s">
        <v>49</v>
      </c>
    </row>
    <row r="176" spans="2:6" ht="15" thickBot="1" x14ac:dyDescent="0.35"/>
    <row r="177" spans="2:4" x14ac:dyDescent="0.3">
      <c r="B177" s="2" t="s">
        <v>0</v>
      </c>
      <c r="C177" s="3">
        <v>3</v>
      </c>
      <c r="D177" s="14" t="s">
        <v>3</v>
      </c>
    </row>
    <row r="178" spans="2:4" x14ac:dyDescent="0.3">
      <c r="B178" s="5">
        <v>4</v>
      </c>
      <c r="C178" s="1" t="s">
        <v>46</v>
      </c>
      <c r="D178" s="14">
        <v>0</v>
      </c>
    </row>
    <row r="179" spans="2:4" x14ac:dyDescent="0.3">
      <c r="B179" s="14" t="s">
        <v>3</v>
      </c>
      <c r="C179" s="14">
        <v>0</v>
      </c>
    </row>
    <row r="183" spans="2:4" x14ac:dyDescent="0.3">
      <c r="B183" t="s">
        <v>51</v>
      </c>
    </row>
    <row r="187" spans="2:4" x14ac:dyDescent="0.3">
      <c r="B187" t="s">
        <v>52</v>
      </c>
    </row>
    <row r="190" spans="2:4" x14ac:dyDescent="0.3">
      <c r="B190" t="s">
        <v>53</v>
      </c>
    </row>
    <row r="192" spans="2:4" x14ac:dyDescent="0.3">
      <c r="B192" t="s">
        <v>54</v>
      </c>
    </row>
    <row r="194" spans="2:3" x14ac:dyDescent="0.3">
      <c r="B194" t="s">
        <v>55</v>
      </c>
    </row>
    <row r="196" spans="2:3" x14ac:dyDescent="0.3">
      <c r="B196" t="s">
        <v>24</v>
      </c>
      <c r="C196">
        <v>113</v>
      </c>
    </row>
    <row r="199" spans="2:3" x14ac:dyDescent="0.3">
      <c r="B199" t="s">
        <v>56</v>
      </c>
    </row>
    <row r="201" spans="2:3" x14ac:dyDescent="0.3">
      <c r="B201" s="28" t="s">
        <v>57</v>
      </c>
      <c r="C201" s="29">
        <v>23</v>
      </c>
    </row>
    <row r="202" spans="2:3" x14ac:dyDescent="0.3">
      <c r="B202" s="29" t="s">
        <v>58</v>
      </c>
      <c r="C202" s="29">
        <v>10</v>
      </c>
    </row>
    <row r="203" spans="2:3" x14ac:dyDescent="0.3">
      <c r="B203" s="29" t="s">
        <v>59</v>
      </c>
      <c r="C203" s="29">
        <v>30</v>
      </c>
    </row>
    <row r="204" spans="2:3" x14ac:dyDescent="0.3">
      <c r="B204" s="29" t="s">
        <v>60</v>
      </c>
      <c r="C204" s="29">
        <v>10</v>
      </c>
    </row>
    <row r="205" spans="2:3" x14ac:dyDescent="0.3">
      <c r="B205" s="29" t="s">
        <v>61</v>
      </c>
      <c r="C205" s="29">
        <v>40</v>
      </c>
    </row>
    <row r="208" spans="2:3" x14ac:dyDescent="0.3">
      <c r="B208" s="30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</cp:lastModifiedBy>
  <dcterms:created xsi:type="dcterms:W3CDTF">2025-03-02T14:44:17Z</dcterms:created>
  <dcterms:modified xsi:type="dcterms:W3CDTF">2025-03-21T19:24:23Z</dcterms:modified>
</cp:coreProperties>
</file>